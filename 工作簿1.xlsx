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52" windowHeight="114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<sst xmlns="http://schemas.openxmlformats.org/spreadsheetml/2006/main" count="265" uniqueCount="67">
  <si>
    <t>批号</t>
  </si>
  <si>
    <t>数量</t>
  </si>
  <si>
    <t>芯数</t>
  </si>
  <si>
    <t>每管芯数</t>
  </si>
  <si>
    <t>光纤带芯数</t>
  </si>
  <si>
    <t>芯公里</t>
  </si>
  <si>
    <t>原始启动数量</t>
  </si>
  <si>
    <t>是否复绕</t>
  </si>
  <si>
    <t>物料品名</t>
  </si>
  <si>
    <t>物料描述</t>
  </si>
  <si>
    <t>型号</t>
  </si>
  <si>
    <t>设备名称</t>
  </si>
  <si>
    <t>工序</t>
  </si>
  <si>
    <t>生产方式</t>
  </si>
  <si>
    <t>人员</t>
  </si>
  <si>
    <t>理论加工时间</t>
  </si>
  <si>
    <t>实际加工时间</t>
  </si>
  <si>
    <t>创建日期</t>
  </si>
  <si>
    <t>项目编号</t>
  </si>
  <si>
    <t>项目名称</t>
  </si>
  <si>
    <t>项目记录结果</t>
  </si>
  <si>
    <t>D1G0100007107701</t>
  </si>
  <si>
    <t xml:space="preserve">24  </t>
  </si>
  <si>
    <t>1110100100641</t>
  </si>
  <si>
    <t>GYTA光缆(黑色)</t>
  </si>
  <si>
    <t>GYTA-24G.652D</t>
  </si>
  <si>
    <t>HT-12</t>
  </si>
  <si>
    <t>护套</t>
  </si>
  <si>
    <t>正常生产</t>
  </si>
  <si>
    <t>杜伟</t>
  </si>
  <si>
    <t>班次</t>
  </si>
  <si>
    <t>早中班</t>
  </si>
  <si>
    <t>主机1区-10区温度（实际值）（℃）</t>
  </si>
  <si>
    <t>130 145 155 161 165 170 173 175</t>
  </si>
  <si>
    <t>辅机1区-4区温度（实际值）（℃）</t>
  </si>
  <si>
    <t>180</t>
  </si>
  <si>
    <t>缆芯外径（mm)</t>
  </si>
  <si>
    <t>6.60</t>
  </si>
  <si>
    <t>内护套外径(mm)</t>
  </si>
  <si>
    <t>0.00</t>
  </si>
  <si>
    <t>护套外径(mm)</t>
  </si>
  <si>
    <t>10.20</t>
  </si>
  <si>
    <t>生产速度（米/分）</t>
  </si>
  <si>
    <t>100.00</t>
  </si>
  <si>
    <t>实际生产速度（m/min）</t>
  </si>
  <si>
    <t>30.00</t>
  </si>
  <si>
    <t>缆号</t>
  </si>
  <si>
    <t>/</t>
  </si>
  <si>
    <t>进气总气压（Mpa）</t>
  </si>
  <si>
    <t>0.50</t>
  </si>
  <si>
    <t>放线张力气压（Mpa）</t>
  </si>
  <si>
    <t>0.10</t>
  </si>
  <si>
    <t>挤出外模(mm)</t>
  </si>
  <si>
    <t>10.50</t>
  </si>
  <si>
    <t>限径卡包模(mm)</t>
  </si>
  <si>
    <t>10.80</t>
  </si>
  <si>
    <t>螺杆速度(rpm)-(挤塑主机速度)（转/分）</t>
  </si>
  <si>
    <t>螺杆速度(rpm)-(辅助挤塑速度)（转/分）</t>
  </si>
  <si>
    <t>螺杆电流（A）</t>
  </si>
  <si>
    <t>油膏模-入口(mm)</t>
  </si>
  <si>
    <t>油膏模-出口(mm)</t>
  </si>
  <si>
    <t>钢带预型压轮（沿前进方向）1#-6#（R：mm）</t>
  </si>
  <si>
    <t>芳纶绞笼1#-纱股数</t>
  </si>
  <si>
    <t>钢带预型锥孔径（mm)</t>
  </si>
  <si>
    <t>铝带预型锥孔径(mm)</t>
  </si>
  <si>
    <t>定径模1#-2#(mm)</t>
  </si>
  <si>
    <t>8.00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</si>
</sst>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\ h:mm"/>
    <numFmt numFmtId="177" formatCode="0.00_ "/>
  </numFmts>
  <fonts count="22">
    <font>
      <sz val="11"/>
      <color theme="1"/>
      <name val="宋体"/>
      <charset val="134"/>
      <scheme val="minor"/>
    </font>
    <font>
      <sz val="9"/>
      <color rgb="FF000000"/>
      <name val="微软雅黑"/>
      <charset val="1"/>
    </font>
    <font>
      <sz val="9"/>
      <name val="微软雅黑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0F0F0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FD09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top"/>
    </xf>
    <xf numFmtId="176" fontId="2" fillId="0" borderId="2" xfId="0" applyNumberFormat="1" applyFont="1" applyFill="1" applyBorder="1" applyAlignment="1" applyProtection="1">
      <alignment horizontal="left" vertical="top"/>
    </xf>
    <xf numFmtId="0" fontId="2" fillId="3" borderId="2" xfId="0" applyFont="1" applyFill="1" applyBorder="1" applyAlignment="1" applyProtection="1">
      <alignment horizontal="left" vertical="top"/>
    </xf>
    <xf numFmtId="0" fontId="2" fillId="4" borderId="2" xfId="0" applyFont="1" applyFill="1" applyBorder="1" applyAlignment="1" applyProtection="1">
      <alignment horizontal="left" vertical="top"/>
    </xf>
    <xf numFmtId="0" fontId="2" fillId="5" borderId="2" xfId="0" applyFont="1" applyFill="1" applyBorder="1" applyAlignment="1" applyProtection="1">
      <alignment horizontal="left" vertical="top"/>
    </xf>
    <xf numFmtId="177" fontId="2" fillId="0" borderId="2" xfId="0" applyNumberFormat="1" applyFont="1" applyFill="1" applyBorder="1" applyAlignment="1" applyProtection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tabSelected="1" workbookViewId="0">
      <selection activeCell="V20" sqref="V20"/>
    </sheetView>
  </sheetViews>
  <sheetFormatPr defaultColWidth="9.02654867256637" defaultRowHeight="13.1"/>
  <cols>
    <col min="16" max="16" width="6.44247787610619" customWidth="1"/>
    <col min="17" max="17" width="9.02654867256637" hidden="1" customWidth="1"/>
    <col min="18" max="18" width="37.5752212389381" hidden="1" customWidth="1"/>
    <col min="19" max="19" width="9.02654867256637" hidden="1" customWidth="1"/>
    <col min="20" max="20" width="31.469026548672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0.8</v>
      </c>
      <c r="C2" s="2" t="s">
        <v>22</v>
      </c>
      <c r="D2" s="2">
        <v>0</v>
      </c>
      <c r="E2" s="2">
        <v>0</v>
      </c>
      <c r="F2" s="2">
        <v>19.2</v>
      </c>
      <c r="G2" s="2">
        <v>3</v>
      </c>
      <c r="H2" s="2" t="b">
        <f>FALSE()</f>
        <v>0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>
        <v>0.1334</v>
      </c>
      <c r="Q2" s="2">
        <v>0</v>
      </c>
      <c r="R2" s="3">
        <v>45445.1200520833</v>
      </c>
      <c r="S2" s="2">
        <v>251</v>
      </c>
      <c r="T2" s="2" t="s">
        <v>30</v>
      </c>
      <c r="U2" s="2" t="s">
        <v>31</v>
      </c>
    </row>
    <row r="3" spans="1:21">
      <c r="A3" s="2" t="s">
        <v>21</v>
      </c>
      <c r="B3" s="2">
        <v>0.8</v>
      </c>
      <c r="C3" s="2" t="s">
        <v>22</v>
      </c>
      <c r="D3" s="2">
        <v>0</v>
      </c>
      <c r="E3" s="2">
        <v>0</v>
      </c>
      <c r="F3" s="2">
        <v>19.2</v>
      </c>
      <c r="G3" s="2">
        <v>3</v>
      </c>
      <c r="H3" s="2" t="b">
        <f>FALSE()</f>
        <v>0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>
        <v>0.1334</v>
      </c>
      <c r="Q3" s="2">
        <v>0</v>
      </c>
      <c r="R3" s="3">
        <v>45445.1200520833</v>
      </c>
      <c r="S3" s="2">
        <v>252</v>
      </c>
      <c r="T3" s="2" t="s">
        <v>32</v>
      </c>
      <c r="U3" s="2" t="s">
        <v>33</v>
      </c>
    </row>
    <row r="4" spans="1:21">
      <c r="A4" s="2" t="s">
        <v>21</v>
      </c>
      <c r="B4" s="2">
        <v>0.8</v>
      </c>
      <c r="C4" s="2" t="s">
        <v>22</v>
      </c>
      <c r="D4" s="2">
        <v>0</v>
      </c>
      <c r="E4" s="2">
        <v>0</v>
      </c>
      <c r="F4" s="2">
        <v>19.2</v>
      </c>
      <c r="G4" s="2">
        <v>3</v>
      </c>
      <c r="H4" s="2" t="b">
        <f>FALSE()</f>
        <v>0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>
        <v>0.1334</v>
      </c>
      <c r="Q4" s="2">
        <v>0</v>
      </c>
      <c r="R4" s="3">
        <v>45445.1200520833</v>
      </c>
      <c r="S4" s="2">
        <v>253</v>
      </c>
      <c r="T4" s="2" t="s">
        <v>34</v>
      </c>
      <c r="U4" s="2" t="s">
        <v>35</v>
      </c>
    </row>
    <row r="5" spans="1:21">
      <c r="A5" s="2" t="s">
        <v>21</v>
      </c>
      <c r="B5" s="2">
        <v>0.8</v>
      </c>
      <c r="C5" s="2" t="s">
        <v>22</v>
      </c>
      <c r="D5" s="2">
        <v>0</v>
      </c>
      <c r="E5" s="2">
        <v>0</v>
      </c>
      <c r="F5" s="2">
        <v>19.2</v>
      </c>
      <c r="G5" s="2">
        <v>3</v>
      </c>
      <c r="H5" s="2" t="b">
        <f>FALSE()</f>
        <v>0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>
        <v>0.1334</v>
      </c>
      <c r="Q5" s="2">
        <v>0</v>
      </c>
      <c r="R5" s="3">
        <v>45445.1200520833</v>
      </c>
      <c r="S5" s="2">
        <v>254</v>
      </c>
      <c r="T5" s="4" t="s">
        <v>36</v>
      </c>
      <c r="U5" s="2" t="s">
        <v>37</v>
      </c>
    </row>
    <row r="6" spans="1:21">
      <c r="A6" s="2" t="s">
        <v>21</v>
      </c>
      <c r="B6" s="2">
        <v>0.8</v>
      </c>
      <c r="C6" s="2" t="s">
        <v>22</v>
      </c>
      <c r="D6" s="2">
        <v>0</v>
      </c>
      <c r="E6" s="2">
        <v>0</v>
      </c>
      <c r="F6" s="2">
        <v>19.2</v>
      </c>
      <c r="G6" s="2">
        <v>3</v>
      </c>
      <c r="H6" s="2" t="b">
        <f>FALSE()</f>
        <v>0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29</v>
      </c>
      <c r="P6" s="2">
        <v>0.1334</v>
      </c>
      <c r="Q6" s="2">
        <v>0</v>
      </c>
      <c r="R6" s="3">
        <v>45445.1200520833</v>
      </c>
      <c r="S6" s="2">
        <v>255</v>
      </c>
      <c r="T6" s="2" t="s">
        <v>38</v>
      </c>
      <c r="U6" s="2" t="s">
        <v>39</v>
      </c>
    </row>
    <row r="7" spans="1:21">
      <c r="A7" s="2" t="s">
        <v>21</v>
      </c>
      <c r="B7" s="2">
        <v>0.8</v>
      </c>
      <c r="C7" s="2" t="s">
        <v>22</v>
      </c>
      <c r="D7" s="2">
        <v>0</v>
      </c>
      <c r="E7" s="2">
        <v>0</v>
      </c>
      <c r="F7" s="2">
        <v>19.2</v>
      </c>
      <c r="G7" s="2">
        <v>3</v>
      </c>
      <c r="H7" s="2" t="b">
        <f>FALSE()</f>
        <v>0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29</v>
      </c>
      <c r="P7" s="2">
        <v>0.1334</v>
      </c>
      <c r="Q7" s="2">
        <v>0</v>
      </c>
      <c r="R7" s="3">
        <v>45445.1200520833</v>
      </c>
      <c r="S7" s="2">
        <v>256</v>
      </c>
      <c r="T7" s="5" t="s">
        <v>40</v>
      </c>
      <c r="U7" s="2" t="s">
        <v>41</v>
      </c>
    </row>
    <row r="8" spans="1:21">
      <c r="A8" s="2" t="s">
        <v>21</v>
      </c>
      <c r="B8" s="2">
        <v>0.8</v>
      </c>
      <c r="C8" s="2" t="s">
        <v>22</v>
      </c>
      <c r="D8" s="2">
        <v>0</v>
      </c>
      <c r="E8" s="2">
        <v>0</v>
      </c>
      <c r="F8" s="2">
        <v>19.2</v>
      </c>
      <c r="G8" s="2">
        <v>3</v>
      </c>
      <c r="H8" s="2" t="b">
        <f>FALSE()</f>
        <v>0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29</v>
      </c>
      <c r="P8" s="2">
        <v>0.1334</v>
      </c>
      <c r="Q8" s="2">
        <v>0</v>
      </c>
      <c r="R8" s="3">
        <v>45445.1200520833</v>
      </c>
      <c r="S8" s="2">
        <v>257</v>
      </c>
      <c r="T8" s="2" t="s">
        <v>42</v>
      </c>
      <c r="U8" s="2" t="s">
        <v>43</v>
      </c>
    </row>
    <row r="9" spans="1:21">
      <c r="A9" s="2" t="s">
        <v>21</v>
      </c>
      <c r="B9" s="2">
        <v>0.8</v>
      </c>
      <c r="C9" s="2" t="s">
        <v>22</v>
      </c>
      <c r="D9" s="2">
        <v>0</v>
      </c>
      <c r="E9" s="2">
        <v>0</v>
      </c>
      <c r="F9" s="2">
        <v>19.2</v>
      </c>
      <c r="G9" s="2">
        <v>3</v>
      </c>
      <c r="H9" s="2" t="b">
        <f>FALSE()</f>
        <v>0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2" t="s">
        <v>29</v>
      </c>
      <c r="P9" s="2">
        <v>0.1334</v>
      </c>
      <c r="Q9" s="2">
        <v>0</v>
      </c>
      <c r="R9" s="3">
        <v>45445.1200520833</v>
      </c>
      <c r="S9" s="2">
        <v>258</v>
      </c>
      <c r="T9" s="6" t="s">
        <v>44</v>
      </c>
      <c r="U9" s="2" t="s">
        <v>45</v>
      </c>
    </row>
    <row r="10" spans="1:21">
      <c r="A10" s="2" t="s">
        <v>21</v>
      </c>
      <c r="B10" s="2">
        <v>0.8</v>
      </c>
      <c r="C10" s="2" t="s">
        <v>22</v>
      </c>
      <c r="D10" s="2">
        <v>0</v>
      </c>
      <c r="E10" s="2">
        <v>0</v>
      </c>
      <c r="F10" s="2">
        <v>19.2</v>
      </c>
      <c r="G10" s="2">
        <v>3</v>
      </c>
      <c r="H10" s="2" t="b">
        <f>FALSE()</f>
        <v>0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29</v>
      </c>
      <c r="P10" s="2">
        <v>0.1334</v>
      </c>
      <c r="Q10" s="2">
        <v>0</v>
      </c>
      <c r="R10" s="3">
        <v>45445.1200520833</v>
      </c>
      <c r="S10" s="2">
        <v>259</v>
      </c>
      <c r="T10" s="2" t="s">
        <v>46</v>
      </c>
      <c r="U10" s="2" t="s">
        <v>47</v>
      </c>
    </row>
    <row r="11" spans="1:21">
      <c r="A11" s="2" t="s">
        <v>21</v>
      </c>
      <c r="B11" s="2">
        <v>0.8</v>
      </c>
      <c r="C11" s="2" t="s">
        <v>22</v>
      </c>
      <c r="D11" s="2">
        <v>0</v>
      </c>
      <c r="E11" s="2">
        <v>0</v>
      </c>
      <c r="F11" s="2">
        <v>19.2</v>
      </c>
      <c r="G11" s="2">
        <v>3</v>
      </c>
      <c r="H11" s="2" t="b">
        <f>FALSE()</f>
        <v>0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29</v>
      </c>
      <c r="P11" s="2">
        <v>0.1334</v>
      </c>
      <c r="Q11" s="2">
        <v>0</v>
      </c>
      <c r="R11" s="3">
        <v>45445.1200520833</v>
      </c>
      <c r="S11" s="2">
        <v>260</v>
      </c>
      <c r="T11" s="2" t="s">
        <v>48</v>
      </c>
      <c r="U11" s="2" t="s">
        <v>49</v>
      </c>
    </row>
    <row r="12" spans="1:21">
      <c r="A12" s="2" t="s">
        <v>21</v>
      </c>
      <c r="B12" s="2">
        <v>0.8</v>
      </c>
      <c r="C12" s="2" t="s">
        <v>22</v>
      </c>
      <c r="D12" s="2">
        <v>0</v>
      </c>
      <c r="E12" s="2">
        <v>0</v>
      </c>
      <c r="F12" s="2">
        <v>19.2</v>
      </c>
      <c r="G12" s="2">
        <v>3</v>
      </c>
      <c r="H12" s="2" t="b">
        <f>FALSE()</f>
        <v>0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28</v>
      </c>
      <c r="O12" s="2" t="s">
        <v>29</v>
      </c>
      <c r="P12" s="2">
        <v>0.1334</v>
      </c>
      <c r="Q12" s="2">
        <v>0</v>
      </c>
      <c r="R12" s="3">
        <v>45445.1200520833</v>
      </c>
      <c r="S12" s="2">
        <v>261</v>
      </c>
      <c r="T12" s="2" t="s">
        <v>50</v>
      </c>
      <c r="U12" s="2" t="s">
        <v>51</v>
      </c>
    </row>
    <row r="13" spans="1:21">
      <c r="A13" s="2" t="s">
        <v>21</v>
      </c>
      <c r="B13" s="2">
        <v>0.8</v>
      </c>
      <c r="C13" s="2" t="s">
        <v>22</v>
      </c>
      <c r="D13" s="2">
        <v>0</v>
      </c>
      <c r="E13" s="2">
        <v>0</v>
      </c>
      <c r="F13" s="2">
        <v>19.2</v>
      </c>
      <c r="G13" s="2">
        <v>3</v>
      </c>
      <c r="H13" s="2" t="b">
        <f t="shared" ref="H13:H24" si="0">FALSE()</f>
        <v>0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28</v>
      </c>
      <c r="O13" s="2" t="s">
        <v>29</v>
      </c>
      <c r="P13" s="2">
        <v>0.1334</v>
      </c>
      <c r="Q13" s="2">
        <v>0</v>
      </c>
      <c r="R13" s="3">
        <v>45445.1200520833</v>
      </c>
      <c r="S13" s="2">
        <v>263</v>
      </c>
      <c r="T13" s="5" t="s">
        <v>52</v>
      </c>
      <c r="U13" s="2" t="s">
        <v>53</v>
      </c>
    </row>
    <row r="14" spans="1:21">
      <c r="A14" s="2" t="s">
        <v>21</v>
      </c>
      <c r="B14" s="2">
        <v>0.8</v>
      </c>
      <c r="C14" s="2" t="s">
        <v>22</v>
      </c>
      <c r="D14" s="2">
        <v>0</v>
      </c>
      <c r="E14" s="2">
        <v>0</v>
      </c>
      <c r="F14" s="2">
        <v>19.2</v>
      </c>
      <c r="G14" s="2">
        <v>3</v>
      </c>
      <c r="H14" s="2" t="b">
        <f t="shared" si="0"/>
        <v>0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28</v>
      </c>
      <c r="O14" s="2" t="s">
        <v>29</v>
      </c>
      <c r="P14" s="2">
        <v>0.1334</v>
      </c>
      <c r="Q14" s="2">
        <v>0</v>
      </c>
      <c r="R14" s="3">
        <v>45445.1200520833</v>
      </c>
      <c r="S14" s="2">
        <v>264</v>
      </c>
      <c r="T14" s="2" t="s">
        <v>54</v>
      </c>
      <c r="U14" s="2" t="s">
        <v>55</v>
      </c>
    </row>
    <row r="15" spans="1:21">
      <c r="A15" s="2" t="s">
        <v>21</v>
      </c>
      <c r="B15" s="2">
        <v>0.8</v>
      </c>
      <c r="C15" s="2" t="s">
        <v>22</v>
      </c>
      <c r="D15" s="2">
        <v>0</v>
      </c>
      <c r="E15" s="2">
        <v>0</v>
      </c>
      <c r="F15" s="2">
        <v>19.2</v>
      </c>
      <c r="G15" s="2">
        <v>3</v>
      </c>
      <c r="H15" s="2" t="b">
        <f t="shared" si="0"/>
        <v>0</v>
      </c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  <c r="P15" s="2">
        <v>0.1334</v>
      </c>
      <c r="Q15" s="2">
        <v>0</v>
      </c>
      <c r="R15" s="3">
        <v>45445.1200520833</v>
      </c>
      <c r="S15" s="2">
        <v>265</v>
      </c>
      <c r="T15" s="6" t="s">
        <v>56</v>
      </c>
      <c r="U15" s="7">
        <v>0</v>
      </c>
    </row>
    <row r="16" spans="1:21">
      <c r="A16" s="2" t="s">
        <v>21</v>
      </c>
      <c r="B16" s="2">
        <v>0.8</v>
      </c>
      <c r="C16" s="2" t="s">
        <v>22</v>
      </c>
      <c r="D16" s="2">
        <v>0</v>
      </c>
      <c r="E16" s="2">
        <v>0</v>
      </c>
      <c r="F16" s="2">
        <v>19.2</v>
      </c>
      <c r="G16" s="2">
        <v>3</v>
      </c>
      <c r="H16" s="2" t="b">
        <f t="shared" si="0"/>
        <v>0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  <c r="P16" s="2">
        <v>0.1334</v>
      </c>
      <c r="Q16" s="2">
        <v>0</v>
      </c>
      <c r="R16" s="3">
        <v>45445.1200520833</v>
      </c>
      <c r="S16" s="2">
        <v>266</v>
      </c>
      <c r="T16" s="2" t="s">
        <v>57</v>
      </c>
      <c r="U16" s="2"/>
    </row>
    <row r="17" spans="1:21">
      <c r="A17" s="2" t="s">
        <v>21</v>
      </c>
      <c r="B17" s="2">
        <v>0.8</v>
      </c>
      <c r="C17" s="2" t="s">
        <v>22</v>
      </c>
      <c r="D17" s="2">
        <v>0</v>
      </c>
      <c r="E17" s="2">
        <v>0</v>
      </c>
      <c r="F17" s="2">
        <v>19.2</v>
      </c>
      <c r="G17" s="2">
        <v>3</v>
      </c>
      <c r="H17" s="2" t="b">
        <f t="shared" si="0"/>
        <v>0</v>
      </c>
      <c r="I17" s="2" t="s">
        <v>23</v>
      </c>
      <c r="J17" s="2" t="s">
        <v>24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  <c r="P17" s="2">
        <v>0.1334</v>
      </c>
      <c r="Q17" s="2">
        <v>0</v>
      </c>
      <c r="R17" s="3">
        <v>45445.1200520833</v>
      </c>
      <c r="S17" s="2">
        <v>267</v>
      </c>
      <c r="T17" s="6" t="s">
        <v>58</v>
      </c>
      <c r="U17" s="2"/>
    </row>
    <row r="18" spans="1:21">
      <c r="A18" s="2" t="s">
        <v>21</v>
      </c>
      <c r="B18" s="2">
        <v>0.8</v>
      </c>
      <c r="C18" s="2" t="s">
        <v>22</v>
      </c>
      <c r="D18" s="2">
        <v>0</v>
      </c>
      <c r="E18" s="2">
        <v>0</v>
      </c>
      <c r="F18" s="2">
        <v>19.2</v>
      </c>
      <c r="G18" s="2">
        <v>3</v>
      </c>
      <c r="H18" s="2" t="b">
        <f t="shared" si="0"/>
        <v>0</v>
      </c>
      <c r="I18" s="2" t="s">
        <v>23</v>
      </c>
      <c r="J18" s="2" t="s">
        <v>24</v>
      </c>
      <c r="K18" s="2" t="s">
        <v>25</v>
      </c>
      <c r="L18" s="2" t="s">
        <v>26</v>
      </c>
      <c r="M18" s="2" t="s">
        <v>27</v>
      </c>
      <c r="N18" s="2" t="s">
        <v>28</v>
      </c>
      <c r="O18" s="2" t="s">
        <v>29</v>
      </c>
      <c r="P18" s="2">
        <v>0.1334</v>
      </c>
      <c r="Q18" s="2">
        <v>0</v>
      </c>
      <c r="R18" s="3">
        <v>45445.1200520833</v>
      </c>
      <c r="S18" s="2">
        <v>350</v>
      </c>
      <c r="T18" s="2" t="s">
        <v>59</v>
      </c>
      <c r="U18" s="2"/>
    </row>
    <row r="19" spans="1:21">
      <c r="A19" s="2" t="s">
        <v>21</v>
      </c>
      <c r="B19" s="2">
        <v>0.8</v>
      </c>
      <c r="C19" s="2" t="s">
        <v>22</v>
      </c>
      <c r="D19" s="2">
        <v>0</v>
      </c>
      <c r="E19" s="2">
        <v>0</v>
      </c>
      <c r="F19" s="2">
        <v>19.2</v>
      </c>
      <c r="G19" s="2">
        <v>3</v>
      </c>
      <c r="H19" s="2" t="b">
        <f t="shared" si="0"/>
        <v>0</v>
      </c>
      <c r="I19" s="2" t="s">
        <v>23</v>
      </c>
      <c r="J19" s="2" t="s">
        <v>24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  <c r="P19" s="2">
        <v>0.1334</v>
      </c>
      <c r="Q19" s="2">
        <v>0</v>
      </c>
      <c r="R19" s="3">
        <v>45445.1200520833</v>
      </c>
      <c r="S19" s="2">
        <v>351</v>
      </c>
      <c r="T19" s="2" t="s">
        <v>60</v>
      </c>
      <c r="U19" s="2"/>
    </row>
    <row r="20" spans="1:21">
      <c r="A20" s="2" t="s">
        <v>21</v>
      </c>
      <c r="B20" s="2">
        <v>0.8</v>
      </c>
      <c r="C20" s="2" t="s">
        <v>22</v>
      </c>
      <c r="D20" s="2">
        <v>0</v>
      </c>
      <c r="E20" s="2">
        <v>0</v>
      </c>
      <c r="F20" s="2">
        <v>19.2</v>
      </c>
      <c r="G20" s="2">
        <v>3</v>
      </c>
      <c r="H20" s="2" t="b">
        <f t="shared" si="0"/>
        <v>0</v>
      </c>
      <c r="I20" s="2" t="s">
        <v>23</v>
      </c>
      <c r="J20" s="2" t="s">
        <v>24</v>
      </c>
      <c r="K20" s="2" t="s">
        <v>25</v>
      </c>
      <c r="L20" s="2" t="s">
        <v>26</v>
      </c>
      <c r="M20" s="2" t="s">
        <v>27</v>
      </c>
      <c r="N20" s="2" t="s">
        <v>28</v>
      </c>
      <c r="O20" s="2" t="s">
        <v>29</v>
      </c>
      <c r="P20" s="2">
        <v>0.1334</v>
      </c>
      <c r="Q20" s="2">
        <v>0</v>
      </c>
      <c r="R20" s="3">
        <v>45445.1200520833</v>
      </c>
      <c r="S20" s="2">
        <v>357</v>
      </c>
      <c r="T20" s="2" t="s">
        <v>61</v>
      </c>
      <c r="U20" s="2"/>
    </row>
    <row r="21" spans="1:21">
      <c r="A21" s="2" t="s">
        <v>21</v>
      </c>
      <c r="B21" s="2">
        <v>0.8</v>
      </c>
      <c r="C21" s="2" t="s">
        <v>22</v>
      </c>
      <c r="D21" s="2">
        <v>0</v>
      </c>
      <c r="E21" s="2">
        <v>0</v>
      </c>
      <c r="F21" s="2">
        <v>19.2</v>
      </c>
      <c r="G21" s="2">
        <v>3</v>
      </c>
      <c r="H21" s="2" t="b">
        <f t="shared" si="0"/>
        <v>0</v>
      </c>
      <c r="I21" s="2" t="s">
        <v>23</v>
      </c>
      <c r="J21" s="2" t="s">
        <v>24</v>
      </c>
      <c r="K21" s="2" t="s">
        <v>25</v>
      </c>
      <c r="L21" s="2" t="s">
        <v>26</v>
      </c>
      <c r="M21" s="2" t="s">
        <v>27</v>
      </c>
      <c r="N21" s="2" t="s">
        <v>28</v>
      </c>
      <c r="O21" s="2" t="s">
        <v>29</v>
      </c>
      <c r="P21" s="2">
        <v>0.1334</v>
      </c>
      <c r="Q21" s="2">
        <v>0</v>
      </c>
      <c r="R21" s="3">
        <v>45445.1200520833</v>
      </c>
      <c r="S21" s="2">
        <v>358</v>
      </c>
      <c r="T21" s="2" t="s">
        <v>62</v>
      </c>
      <c r="U21" s="2"/>
    </row>
    <row r="22" spans="1:21">
      <c r="A22" s="2" t="s">
        <v>21</v>
      </c>
      <c r="B22" s="2">
        <v>0.8</v>
      </c>
      <c r="C22" s="2" t="s">
        <v>22</v>
      </c>
      <c r="D22" s="2">
        <v>0</v>
      </c>
      <c r="E22" s="2">
        <v>0</v>
      </c>
      <c r="F22" s="2">
        <v>19.2</v>
      </c>
      <c r="G22" s="2">
        <v>3</v>
      </c>
      <c r="H22" s="2" t="b">
        <f t="shared" si="0"/>
        <v>0</v>
      </c>
      <c r="I22" s="2" t="s">
        <v>23</v>
      </c>
      <c r="J22" s="2" t="s">
        <v>24</v>
      </c>
      <c r="K22" s="2" t="s">
        <v>25</v>
      </c>
      <c r="L22" s="2" t="s">
        <v>26</v>
      </c>
      <c r="M22" s="2" t="s">
        <v>27</v>
      </c>
      <c r="N22" s="2" t="s">
        <v>28</v>
      </c>
      <c r="O22" s="2" t="s">
        <v>29</v>
      </c>
      <c r="P22" s="2">
        <v>0.1334</v>
      </c>
      <c r="Q22" s="2">
        <v>0</v>
      </c>
      <c r="R22" s="3">
        <v>45445.1200520833</v>
      </c>
      <c r="S22" s="2">
        <v>366</v>
      </c>
      <c r="T22" s="2" t="s">
        <v>63</v>
      </c>
      <c r="U22" s="2"/>
    </row>
    <row r="23" spans="1:21">
      <c r="A23" s="2" t="s">
        <v>21</v>
      </c>
      <c r="B23" s="2">
        <v>0.8</v>
      </c>
      <c r="C23" s="2" t="s">
        <v>22</v>
      </c>
      <c r="D23" s="2">
        <v>0</v>
      </c>
      <c r="E23" s="2">
        <v>0</v>
      </c>
      <c r="F23" s="2">
        <v>19.2</v>
      </c>
      <c r="G23" s="2">
        <v>3</v>
      </c>
      <c r="H23" s="2" t="b">
        <f t="shared" si="0"/>
        <v>0</v>
      </c>
      <c r="I23" s="2" t="s">
        <v>23</v>
      </c>
      <c r="J23" s="2" t="s">
        <v>24</v>
      </c>
      <c r="K23" s="2" t="s">
        <v>25</v>
      </c>
      <c r="L23" s="2" t="s">
        <v>26</v>
      </c>
      <c r="M23" s="2" t="s">
        <v>27</v>
      </c>
      <c r="N23" s="2" t="s">
        <v>28</v>
      </c>
      <c r="O23" s="2" t="s">
        <v>29</v>
      </c>
      <c r="P23" s="2">
        <v>0.1334</v>
      </c>
      <c r="Q23" s="2">
        <v>0</v>
      </c>
      <c r="R23" s="3">
        <v>45445.1200520833</v>
      </c>
      <c r="S23" s="2">
        <v>367</v>
      </c>
      <c r="T23" s="2" t="s">
        <v>64</v>
      </c>
      <c r="U23" s="2"/>
    </row>
    <row r="24" spans="1:21">
      <c r="A24" s="2" t="s">
        <v>21</v>
      </c>
      <c r="B24" s="2">
        <v>0.8</v>
      </c>
      <c r="C24" s="2" t="s">
        <v>22</v>
      </c>
      <c r="D24" s="2">
        <v>0</v>
      </c>
      <c r="E24" s="2">
        <v>0</v>
      </c>
      <c r="F24" s="2">
        <v>19.2</v>
      </c>
      <c r="G24" s="2">
        <v>3</v>
      </c>
      <c r="H24" s="2" t="b">
        <f t="shared" si="0"/>
        <v>0</v>
      </c>
      <c r="I24" s="2" t="s">
        <v>23</v>
      </c>
      <c r="J24" s="2" t="s">
        <v>24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29</v>
      </c>
      <c r="P24" s="2">
        <v>0.1334</v>
      </c>
      <c r="Q24" s="2">
        <v>0</v>
      </c>
      <c r="R24" s="3">
        <v>45445.1200520833</v>
      </c>
      <c r="S24" s="2">
        <v>368</v>
      </c>
      <c r="T24" s="2" t="s">
        <v>65</v>
      </c>
      <c r="U24" s="2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ayanami</dc:creator>
  <cp:lastModifiedBy>ayanami</cp:lastModifiedBy>
  <dcterms:created xsi:type="dcterms:W3CDTF">2026-03-25T11:14:47Z</dcterms:created>
  <dcterms:modified xsi:type="dcterms:W3CDTF">2026-03-25T11:21:18Z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BB75543D1F79478B2753C369B067306E_41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